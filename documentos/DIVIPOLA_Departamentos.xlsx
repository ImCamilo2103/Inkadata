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data_analysis\Portafolio\Inkadata\documentos\"/>
    </mc:Choice>
  </mc:AlternateContent>
  <xr:revisionPtr revIDLastSave="0" documentId="13_ncr:1_{0C7DB5C5-2E67-4AF4-898D-2D4D9CF7471B}" xr6:coauthVersionLast="47" xr6:coauthVersionMax="47" xr10:uidLastSave="{00000000-0000-0000-0000-000000000000}"/>
  <bookViews>
    <workbookView xWindow="28692" yWindow="-108" windowWidth="15576" windowHeight="11016" xr2:uid="{00000000-000D-0000-FFFF-FFFF00000000}"/>
  </bookViews>
  <sheets>
    <sheet name="Departamentos" sheetId="2" r:id="rId1"/>
    <sheet name="ESRI_MAPINFO_SHEET" sheetId="5" state="veryHidden" r:id="rId2"/>
  </sheets>
  <definedNames>
    <definedName name="_xlnm._FilterDatabase" localSheetId="0" hidden="1">Departamentos!$C$10:$D$10</definedName>
    <definedName name="ODS_nacional_2003_2015" localSheetId="0">Departamentos!#REF!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<sst xmlns="http://schemas.openxmlformats.org/spreadsheetml/2006/main" count="140" uniqueCount="140">
  <si>
    <t>Departamentos</t>
  </si>
  <si>
    <t>Nombre</t>
  </si>
  <si>
    <t>LATITUD</t>
  </si>
  <si>
    <t>LONGITUD</t>
  </si>
  <si>
    <t>05</t>
  </si>
  <si>
    <t>ANTIOQUIA</t>
  </si>
  <si>
    <t>6,702032125</t>
  </si>
  <si>
    <t>-75,504557037</t>
  </si>
  <si>
    <t>08</t>
  </si>
  <si>
    <t>ATLÁNTICO</t>
  </si>
  <si>
    <t>10,677009534</t>
  </si>
  <si>
    <t>-74,965219492</t>
  </si>
  <si>
    <t>11</t>
  </si>
  <si>
    <t>BOGOTÁ, D.C.</t>
  </si>
  <si>
    <t>4,316107698</t>
  </si>
  <si>
    <t>-74,181072702</t>
  </si>
  <si>
    <t>13</t>
  </si>
  <si>
    <t>BOLÍVAR</t>
  </si>
  <si>
    <t>8,079796863</t>
  </si>
  <si>
    <t>-74,235148136</t>
  </si>
  <si>
    <t>BOYACÁ</t>
  </si>
  <si>
    <t>5,891672889</t>
  </si>
  <si>
    <t>-72,627880544</t>
  </si>
  <si>
    <t>17</t>
  </si>
  <si>
    <t>CALDAS</t>
  </si>
  <si>
    <t>5,280139978</t>
  </si>
  <si>
    <t>-75,274983037</t>
  </si>
  <si>
    <t>18</t>
  </si>
  <si>
    <t>CAQUETÁ</t>
  </si>
  <si>
    <t>0,798556195</t>
  </si>
  <si>
    <t>-73,959467561</t>
  </si>
  <si>
    <t>19</t>
  </si>
  <si>
    <t>CAUCA</t>
  </si>
  <si>
    <t>2,396833887</t>
  </si>
  <si>
    <t>-76,824232828</t>
  </si>
  <si>
    <t>20</t>
  </si>
  <si>
    <t>CESAR</t>
  </si>
  <si>
    <t>9,53665993</t>
  </si>
  <si>
    <t>-73,517831544</t>
  </si>
  <si>
    <t>23</t>
  </si>
  <si>
    <t>CÓRDOBA</t>
  </si>
  <si>
    <t>8,358549754</t>
  </si>
  <si>
    <t>-75,792008718</t>
  </si>
  <si>
    <t>25</t>
  </si>
  <si>
    <t>CUNDINAMARCA</t>
  </si>
  <si>
    <t>4,771120716</t>
  </si>
  <si>
    <t>-74,431110916</t>
  </si>
  <si>
    <t>27</t>
  </si>
  <si>
    <t>CHOCÓ</t>
  </si>
  <si>
    <t>5,397581542</t>
  </si>
  <si>
    <t>-76,942811002</t>
  </si>
  <si>
    <t>41</t>
  </si>
  <si>
    <t>HUILA</t>
  </si>
  <si>
    <t>2,570143029</t>
  </si>
  <si>
    <t>-75,584348363</t>
  </si>
  <si>
    <t>44</t>
  </si>
  <si>
    <t>LA GUAJIRA</t>
  </si>
  <si>
    <t>11,476870077</t>
  </si>
  <si>
    <t>-72,429510724</t>
  </si>
  <si>
    <t>47</t>
  </si>
  <si>
    <t>MAGDALENA</t>
  </si>
  <si>
    <t>10,24738355</t>
  </si>
  <si>
    <t>-74,26175733</t>
  </si>
  <si>
    <t>50</t>
  </si>
  <si>
    <t>META</t>
  </si>
  <si>
    <t>3,345562732</t>
  </si>
  <si>
    <t>-72,95645988</t>
  </si>
  <si>
    <t>52</t>
  </si>
  <si>
    <t>NARIÑO</t>
  </si>
  <si>
    <t>1,571094987</t>
  </si>
  <si>
    <t>-77,87020496</t>
  </si>
  <si>
    <t>54</t>
  </si>
  <si>
    <t>NORTE DE SANTANDER</t>
  </si>
  <si>
    <t>8,09513751</t>
  </si>
  <si>
    <t>-72,881882969</t>
  </si>
  <si>
    <t>63</t>
  </si>
  <si>
    <t>QUINDÍO</t>
  </si>
  <si>
    <t>4,455241567</t>
  </si>
  <si>
    <t>-75,689628528</t>
  </si>
  <si>
    <t>66</t>
  </si>
  <si>
    <t>RISARALDA</t>
  </si>
  <si>
    <t>5,240757239</t>
  </si>
  <si>
    <t>-76,002444694</t>
  </si>
  <si>
    <t>68</t>
  </si>
  <si>
    <t>SANTANDER</t>
  </si>
  <si>
    <t>6,693633184</t>
  </si>
  <si>
    <t>-73,486008938</t>
  </si>
  <si>
    <t>70</t>
  </si>
  <si>
    <t>SUCRE</t>
  </si>
  <si>
    <t>9,064941448</t>
  </si>
  <si>
    <t>-75,109817552</t>
  </si>
  <si>
    <t>73</t>
  </si>
  <si>
    <t>TOLIMA</t>
  </si>
  <si>
    <t>4,03477252</t>
  </si>
  <si>
    <t>-75,255827095</t>
  </si>
  <si>
    <t>76</t>
  </si>
  <si>
    <t>VALLE DEL CAUCA</t>
  </si>
  <si>
    <t>3,569858693</t>
  </si>
  <si>
    <t>-76,62850427</t>
  </si>
  <si>
    <t>81</t>
  </si>
  <si>
    <t>ARAUCA</t>
  </si>
  <si>
    <t>6,569577215</t>
  </si>
  <si>
    <t>-70,967323937</t>
  </si>
  <si>
    <t>85</t>
  </si>
  <si>
    <t>CASANARE</t>
  </si>
  <si>
    <t>5,404064237</t>
  </si>
  <si>
    <t>-71,601880726</t>
  </si>
  <si>
    <t>86</t>
  </si>
  <si>
    <t>PUTUMAYO</t>
  </si>
  <si>
    <t>0,3673031</t>
  </si>
  <si>
    <t>-75,514061833</t>
  </si>
  <si>
    <t>88</t>
  </si>
  <si>
    <t>ARCHIPIÉLAGO DE SAN ANDRÉS, PROVIDENCIA Y SANTA CATALINA</t>
  </si>
  <si>
    <t>12,543115116</t>
  </si>
  <si>
    <t>-81,717623824</t>
  </si>
  <si>
    <t>91</t>
  </si>
  <si>
    <t>AMAZONAS</t>
  </si>
  <si>
    <t>-1,54622768</t>
  </si>
  <si>
    <t>-71,502128578</t>
  </si>
  <si>
    <t>94</t>
  </si>
  <si>
    <t>GUAINÍA</t>
  </si>
  <si>
    <t>2,727842865</t>
  </si>
  <si>
    <t>-68,816612721</t>
  </si>
  <si>
    <t>95</t>
  </si>
  <si>
    <t>GUAVIARE</t>
  </si>
  <si>
    <t>1,924531973</t>
  </si>
  <si>
    <t>-72,128595691</t>
  </si>
  <si>
    <t>97</t>
  </si>
  <si>
    <t>VAUPÉS</t>
  </si>
  <si>
    <t>0,64624561</t>
  </si>
  <si>
    <t>-70,561405657</t>
  </si>
  <si>
    <t>99</t>
  </si>
  <si>
    <t>VICHADA</t>
  </si>
  <si>
    <t>4,713557125</t>
  </si>
  <si>
    <t>-69,41400011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</si>
  <si>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DANE.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</si>
  <si>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En la actualidad el país se compone de 32 departamentos y adicionalmente para fines estadísticos se codifica como departamento el Distrito Capital de Bogotá.</t>
    </r>
  </si>
  <si>
    <t>Codificación de la División Político Administrativa de Colombia - DIVIPOLA marzo 2025</t>
  </si>
  <si>
    <t>Actualizado al 31 de marzo de 2025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</si>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</sst>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9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37">
    <xf numFmtId="0" fontId="0" fillId="0" borderId="0" xfId="0"/>
    <xf numFmtId="0" fontId="18" fillId="0" borderId="0" xfId="0" applyFont="1"/>
    <xf numFmtId="0" fontId="18" fillId="0" borderId="14" xfId="0" applyFont="1" applyBorder="1"/>
    <xf numFmtId="0" fontId="20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left" vertical="center"/>
    </xf>
    <xf numFmtId="0" fontId="18" fillId="34" borderId="15" xfId="0" applyFont="1" applyFill="1" applyBorder="1" applyAlignment="1">
      <alignment horizontal="left" vertical="center"/>
    </xf>
    <xf numFmtId="0" fontId="18" fillId="34" borderId="13" xfId="0" applyFont="1" applyFill="1" applyBorder="1" applyAlignment="1">
      <alignment horizontal="left" vertical="center"/>
    </xf>
    <xf numFmtId="0" fontId="18" fillId="34" borderId="16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0" fontId="18" fillId="34" borderId="18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 wrapText="1"/>
    </xf>
    <xf numFmtId="49" fontId="18" fillId="34" borderId="16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 applyAlignment="1">
      <alignment horizontal="left" vertical="center"/>
    </xf>
    <xf numFmtId="49" fontId="18" fillId="0" borderId="17" xfId="0" applyNumberFormat="1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left" vertical="center"/>
    </xf>
    <xf numFmtId="49" fontId="18" fillId="34" borderId="17" xfId="0" applyNumberFormat="1" applyFont="1" applyFill="1" applyBorder="1" applyAlignment="1">
      <alignment horizontal="center" vertical="center"/>
    </xf>
    <xf numFmtId="49" fontId="18" fillId="34" borderId="18" xfId="0" applyNumberFormat="1" applyFont="1" applyFill="1" applyBorder="1" applyAlignment="1">
      <alignment horizontal="center" vertical="center"/>
    </xf>
    <xf numFmtId="49" fontId="18" fillId="34" borderId="13" xfId="0" applyNumberFormat="1" applyFont="1" applyFill="1" applyBorder="1" applyAlignment="1">
      <alignment horizontal="left" vertical="center"/>
    </xf>
    <xf numFmtId="49" fontId="18" fillId="0" borderId="14" xfId="0" applyNumberFormat="1" applyFont="1" applyBorder="1"/>
    <xf numFmtId="49" fontId="18" fillId="0" borderId="19" xfId="0" applyNumberFormat="1" applyFont="1" applyBorder="1"/>
    <xf numFmtId="49" fontId="18" fillId="0" borderId="0" xfId="0" applyNumberFormat="1" applyFont="1"/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1" fillId="0" borderId="12" xfId="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0" fontId="25" fillId="0" borderId="0" xfId="0" applyFont="1" applyAlignment="1">
      <alignment horizontal="left" wrapText="1"/>
    </xf>
    <xf numFmtId="0" fontId="21" fillId="0" borderId="0" xfId="0" applyFont="1" applyAlignment="1">
      <alignment horizontal="left" wrapText="1"/>
    </xf>
    <xf numFmtId="0" fontId="21" fillId="0" borderId="15" xfId="0" applyFont="1" applyBorder="1" applyAlignment="1">
      <alignment horizontal="left" wrapText="1"/>
    </xf>
    <xf numFmtId="0" fontId="21" fillId="0" borderId="0" xfId="0" applyFont="1" applyAlignment="1">
      <alignment horizontal="left"/>
    </xf>
    <xf numFmtId="0" fontId="21" fillId="0" borderId="15" xfId="0" applyFont="1" applyBorder="1" applyAlignment="1">
      <alignment horizontal="left"/>
    </xf>
    <xf numFmtId="0" fontId="26" fillId="34" borderId="15" xfId="0" applyFont="1" applyFill="1" applyBorder="1" applyAlignment="1">
      <alignment horizontal="left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1985C1B6-26FB-40D1-9E05-2077DE76981B}"/>
  </tableStyles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showGridLines="0" tabSelected="1" zoomScale="85" zoomScaleNormal="85" workbookViewId="0">
      <selection activeCell="C1" sqref="C1:D5"/>
    </sheetView>
  </sheetViews>
  <sheetFormatPr baseColWidth="10" defaultColWidth="11.44140625" defaultRowHeight="11.4" x14ac:dyDescent="0.2"/>
  <cols>
    <col min="1" max="1" width="21.88671875" style="1" customWidth="1"/>
    <col min="2" max="2" width="56.88671875" style="1" bestFit="1" customWidth="1"/>
    <col min="3" max="3" width="22.44140625" style="24" customWidth="1"/>
    <col min="4" max="4" width="16.88671875" style="24" customWidth="1"/>
    <col min="5" max="16384" width="11.44140625" style="1"/>
  </cols>
  <sheetData>
    <row r="1" spans="1:4" x14ac:dyDescent="0.2">
      <c r="A1" s="25" t="e" vm="1">
        <v>#VALUE!</v>
      </c>
      <c r="C1" s="26" t="e" vm="2">
        <v>#VALUE!</v>
      </c>
      <c r="D1" s="26"/>
    </row>
    <row r="2" spans="1:4" x14ac:dyDescent="0.2">
      <c r="A2" s="25"/>
      <c r="C2" s="26"/>
      <c r="D2" s="26"/>
    </row>
    <row r="3" spans="1:4" x14ac:dyDescent="0.2">
      <c r="A3" s="25"/>
      <c r="C3" s="26"/>
      <c r="D3" s="26"/>
    </row>
    <row r="4" spans="1:4" x14ac:dyDescent="0.2">
      <c r="A4" s="25"/>
      <c r="C4" s="26"/>
      <c r="D4" s="26"/>
    </row>
    <row r="5" spans="1:4" x14ac:dyDescent="0.2">
      <c r="A5" s="25"/>
      <c r="C5" s="26"/>
      <c r="D5" s="26"/>
    </row>
    <row r="6" spans="1:4" ht="12" customHeight="1" x14ac:dyDescent="0.2">
      <c r="A6" s="28" t="s">
        <v>137</v>
      </c>
      <c r="B6" s="28"/>
      <c r="C6" s="28"/>
      <c r="D6" s="28"/>
    </row>
    <row r="7" spans="1:4" ht="12" customHeight="1" x14ac:dyDescent="0.2">
      <c r="A7" s="28"/>
      <c r="B7" s="28"/>
      <c r="C7" s="28"/>
      <c r="D7" s="28"/>
    </row>
    <row r="8" spans="1:4" ht="12" x14ac:dyDescent="0.2">
      <c r="A8" s="27" t="s">
        <v>0</v>
      </c>
      <c r="B8" s="27"/>
      <c r="C8" s="27"/>
      <c r="D8" s="12"/>
    </row>
    <row r="9" spans="1:4" ht="12" x14ac:dyDescent="0.2">
      <c r="A9" s="27"/>
      <c r="B9" s="27"/>
      <c r="C9" s="27"/>
      <c r="D9" s="12"/>
    </row>
    <row r="10" spans="1:4" ht="24" customHeight="1" x14ac:dyDescent="0.2">
      <c r="A10" s="11" t="s">
        <v>139</v>
      </c>
      <c r="B10" s="3" t="s">
        <v>1</v>
      </c>
      <c r="C10" s="13" t="s">
        <v>2</v>
      </c>
      <c r="D10" s="14" t="s">
        <v>3</v>
      </c>
    </row>
    <row r="11" spans="1:4" x14ac:dyDescent="0.2">
      <c r="A11" s="7" t="s">
        <v>4</v>
      </c>
      <c r="B11" s="5" t="s">
        <v>5</v>
      </c>
      <c r="C11" s="15" t="s">
        <v>6</v>
      </c>
      <c r="D11" s="16" t="s">
        <v>7</v>
      </c>
    </row>
    <row r="12" spans="1:4" x14ac:dyDescent="0.2">
      <c r="A12" s="8" t="s">
        <v>8</v>
      </c>
      <c r="B12" s="4" t="s">
        <v>9</v>
      </c>
      <c r="C12" s="17" t="s">
        <v>10</v>
      </c>
      <c r="D12" s="18" t="s">
        <v>11</v>
      </c>
    </row>
    <row r="13" spans="1:4" x14ac:dyDescent="0.2">
      <c r="A13" s="9" t="s">
        <v>12</v>
      </c>
      <c r="B13" s="5" t="s">
        <v>13</v>
      </c>
      <c r="C13" s="19" t="s">
        <v>14</v>
      </c>
      <c r="D13" s="16" t="s">
        <v>15</v>
      </c>
    </row>
    <row r="14" spans="1:4" x14ac:dyDescent="0.2">
      <c r="A14" s="8" t="s">
        <v>16</v>
      </c>
      <c r="B14" s="4" t="s">
        <v>17</v>
      </c>
      <c r="C14" s="17" t="s">
        <v>18</v>
      </c>
      <c r="D14" s="18" t="s">
        <v>19</v>
      </c>
    </row>
    <row r="15" spans="1:4" x14ac:dyDescent="0.2">
      <c r="A15" s="9">
        <v>15</v>
      </c>
      <c r="B15" s="36" t="s">
        <v>20</v>
      </c>
      <c r="C15" s="19" t="s">
        <v>21</v>
      </c>
      <c r="D15" s="16" t="s">
        <v>22</v>
      </c>
    </row>
    <row r="16" spans="1:4" x14ac:dyDescent="0.2">
      <c r="A16" s="8" t="s">
        <v>23</v>
      </c>
      <c r="B16" s="4" t="s">
        <v>24</v>
      </c>
      <c r="C16" s="17" t="s">
        <v>25</v>
      </c>
      <c r="D16" s="18" t="s">
        <v>26</v>
      </c>
    </row>
    <row r="17" spans="1:4" x14ac:dyDescent="0.2">
      <c r="A17" s="9" t="s">
        <v>27</v>
      </c>
      <c r="B17" s="5" t="s">
        <v>28</v>
      </c>
      <c r="C17" s="19" t="s">
        <v>29</v>
      </c>
      <c r="D17" s="16" t="s">
        <v>30</v>
      </c>
    </row>
    <row r="18" spans="1:4" x14ac:dyDescent="0.2">
      <c r="A18" s="8" t="s">
        <v>31</v>
      </c>
      <c r="B18" s="4" t="s">
        <v>32</v>
      </c>
      <c r="C18" s="17" t="s">
        <v>33</v>
      </c>
      <c r="D18" s="18" t="s">
        <v>34</v>
      </c>
    </row>
    <row r="19" spans="1:4" x14ac:dyDescent="0.2">
      <c r="A19" s="9" t="s">
        <v>35</v>
      </c>
      <c r="B19" s="5" t="s">
        <v>36</v>
      </c>
      <c r="C19" s="19" t="s">
        <v>37</v>
      </c>
      <c r="D19" s="16" t="s">
        <v>38</v>
      </c>
    </row>
    <row r="20" spans="1:4" x14ac:dyDescent="0.2">
      <c r="A20" s="8" t="s">
        <v>39</v>
      </c>
      <c r="B20" s="4" t="s">
        <v>40</v>
      </c>
      <c r="C20" s="17" t="s">
        <v>41</v>
      </c>
      <c r="D20" s="18" t="s">
        <v>42</v>
      </c>
    </row>
    <row r="21" spans="1:4" x14ac:dyDescent="0.2">
      <c r="A21" s="9" t="s">
        <v>43</v>
      </c>
      <c r="B21" s="5" t="s">
        <v>44</v>
      </c>
      <c r="C21" s="19" t="s">
        <v>45</v>
      </c>
      <c r="D21" s="16" t="s">
        <v>46</v>
      </c>
    </row>
    <row r="22" spans="1:4" x14ac:dyDescent="0.2">
      <c r="A22" s="8" t="s">
        <v>47</v>
      </c>
      <c r="B22" s="4" t="s">
        <v>48</v>
      </c>
      <c r="C22" s="17" t="s">
        <v>49</v>
      </c>
      <c r="D22" s="18" t="s">
        <v>50</v>
      </c>
    </row>
    <row r="23" spans="1:4" x14ac:dyDescent="0.2">
      <c r="A23" s="9" t="s">
        <v>51</v>
      </c>
      <c r="B23" s="5" t="s">
        <v>52</v>
      </c>
      <c r="C23" s="19" t="s">
        <v>53</v>
      </c>
      <c r="D23" s="16" t="s">
        <v>54</v>
      </c>
    </row>
    <row r="24" spans="1:4" x14ac:dyDescent="0.2">
      <c r="A24" s="8" t="s">
        <v>55</v>
      </c>
      <c r="B24" s="4" t="s">
        <v>56</v>
      </c>
      <c r="C24" s="17" t="s">
        <v>57</v>
      </c>
      <c r="D24" s="18" t="s">
        <v>58</v>
      </c>
    </row>
    <row r="25" spans="1:4" x14ac:dyDescent="0.2">
      <c r="A25" s="9" t="s">
        <v>59</v>
      </c>
      <c r="B25" s="5" t="s">
        <v>60</v>
      </c>
      <c r="C25" s="19" t="s">
        <v>61</v>
      </c>
      <c r="D25" s="16" t="s">
        <v>62</v>
      </c>
    </row>
    <row r="26" spans="1:4" x14ac:dyDescent="0.2">
      <c r="A26" s="8" t="s">
        <v>63</v>
      </c>
      <c r="B26" s="4" t="s">
        <v>64</v>
      </c>
      <c r="C26" s="17" t="s">
        <v>65</v>
      </c>
      <c r="D26" s="18" t="s">
        <v>66</v>
      </c>
    </row>
    <row r="27" spans="1:4" x14ac:dyDescent="0.2">
      <c r="A27" s="9" t="s">
        <v>67</v>
      </c>
      <c r="B27" s="5" t="s">
        <v>68</v>
      </c>
      <c r="C27" s="19" t="s">
        <v>69</v>
      </c>
      <c r="D27" s="16" t="s">
        <v>70</v>
      </c>
    </row>
    <row r="28" spans="1:4" x14ac:dyDescent="0.2">
      <c r="A28" s="8" t="s">
        <v>71</v>
      </c>
      <c r="B28" s="4" t="s">
        <v>72</v>
      </c>
      <c r="C28" s="17" t="s">
        <v>73</v>
      </c>
      <c r="D28" s="18" t="s">
        <v>74</v>
      </c>
    </row>
    <row r="29" spans="1:4" x14ac:dyDescent="0.2">
      <c r="A29" s="9" t="s">
        <v>75</v>
      </c>
      <c r="B29" s="5" t="s">
        <v>76</v>
      </c>
      <c r="C29" s="19" t="s">
        <v>77</v>
      </c>
      <c r="D29" s="16" t="s">
        <v>78</v>
      </c>
    </row>
    <row r="30" spans="1:4" x14ac:dyDescent="0.2">
      <c r="A30" s="8" t="s">
        <v>79</v>
      </c>
      <c r="B30" s="4" t="s">
        <v>80</v>
      </c>
      <c r="C30" s="17" t="s">
        <v>81</v>
      </c>
      <c r="D30" s="18" t="s">
        <v>82</v>
      </c>
    </row>
    <row r="31" spans="1:4" x14ac:dyDescent="0.2">
      <c r="A31" s="9" t="s">
        <v>83</v>
      </c>
      <c r="B31" s="5" t="s">
        <v>84</v>
      </c>
      <c r="C31" s="19" t="s">
        <v>85</v>
      </c>
      <c r="D31" s="16" t="s">
        <v>86</v>
      </c>
    </row>
    <row r="32" spans="1:4" x14ac:dyDescent="0.2">
      <c r="A32" s="8" t="s">
        <v>87</v>
      </c>
      <c r="B32" s="4" t="s">
        <v>88</v>
      </c>
      <c r="C32" s="17" t="s">
        <v>89</v>
      </c>
      <c r="D32" s="18" t="s">
        <v>90</v>
      </c>
    </row>
    <row r="33" spans="1:5" x14ac:dyDescent="0.2">
      <c r="A33" s="9" t="s">
        <v>91</v>
      </c>
      <c r="B33" s="5" t="s">
        <v>92</v>
      </c>
      <c r="C33" s="19" t="s">
        <v>93</v>
      </c>
      <c r="D33" s="16" t="s">
        <v>94</v>
      </c>
    </row>
    <row r="34" spans="1:5" x14ac:dyDescent="0.2">
      <c r="A34" s="8" t="s">
        <v>95</v>
      </c>
      <c r="B34" s="4" t="s">
        <v>96</v>
      </c>
      <c r="C34" s="17" t="s">
        <v>97</v>
      </c>
      <c r="D34" s="18" t="s">
        <v>98</v>
      </c>
    </row>
    <row r="35" spans="1:5" x14ac:dyDescent="0.2">
      <c r="A35" s="9" t="s">
        <v>99</v>
      </c>
      <c r="B35" s="5" t="s">
        <v>100</v>
      </c>
      <c r="C35" s="19" t="s">
        <v>101</v>
      </c>
      <c r="D35" s="16" t="s">
        <v>102</v>
      </c>
    </row>
    <row r="36" spans="1:5" x14ac:dyDescent="0.2">
      <c r="A36" s="8" t="s">
        <v>103</v>
      </c>
      <c r="B36" s="4" t="s">
        <v>104</v>
      </c>
      <c r="C36" s="17" t="s">
        <v>105</v>
      </c>
      <c r="D36" s="18" t="s">
        <v>106</v>
      </c>
    </row>
    <row r="37" spans="1:5" x14ac:dyDescent="0.2">
      <c r="A37" s="9" t="s">
        <v>107</v>
      </c>
      <c r="B37" s="5" t="s">
        <v>108</v>
      </c>
      <c r="C37" s="19" t="s">
        <v>109</v>
      </c>
      <c r="D37" s="16" t="s">
        <v>110</v>
      </c>
    </row>
    <row r="38" spans="1:5" x14ac:dyDescent="0.2">
      <c r="A38" s="8" t="s">
        <v>111</v>
      </c>
      <c r="B38" s="4" t="s">
        <v>112</v>
      </c>
      <c r="C38" s="17" t="s">
        <v>113</v>
      </c>
      <c r="D38" s="18" t="s">
        <v>114</v>
      </c>
      <c r="E38" s="1">
        <f>LEN(B38)</f>
        <v>56</v>
      </c>
    </row>
    <row r="39" spans="1:5" x14ac:dyDescent="0.2">
      <c r="A39" s="9" t="s">
        <v>115</v>
      </c>
      <c r="B39" s="5" t="s">
        <v>116</v>
      </c>
      <c r="C39" s="19" t="s">
        <v>117</v>
      </c>
      <c r="D39" s="16" t="s">
        <v>118</v>
      </c>
    </row>
    <row r="40" spans="1:5" x14ac:dyDescent="0.2">
      <c r="A40" s="8" t="s">
        <v>119</v>
      </c>
      <c r="B40" s="4" t="s">
        <v>120</v>
      </c>
      <c r="C40" s="17" t="s">
        <v>121</v>
      </c>
      <c r="D40" s="18" t="s">
        <v>122</v>
      </c>
    </row>
    <row r="41" spans="1:5" x14ac:dyDescent="0.2">
      <c r="A41" s="9" t="s">
        <v>123</v>
      </c>
      <c r="B41" s="5" t="s">
        <v>124</v>
      </c>
      <c r="C41" s="19" t="s">
        <v>125</v>
      </c>
      <c r="D41" s="16" t="s">
        <v>126</v>
      </c>
    </row>
    <row r="42" spans="1:5" x14ac:dyDescent="0.2">
      <c r="A42" s="8" t="s">
        <v>127</v>
      </c>
      <c r="B42" s="4" t="s">
        <v>128</v>
      </c>
      <c r="C42" s="17" t="s">
        <v>129</v>
      </c>
      <c r="D42" s="18" t="s">
        <v>130</v>
      </c>
    </row>
    <row r="43" spans="1:5" x14ac:dyDescent="0.2">
      <c r="A43" s="10" t="s">
        <v>131</v>
      </c>
      <c r="B43" s="6" t="s">
        <v>132</v>
      </c>
      <c r="C43" s="20" t="s">
        <v>133</v>
      </c>
      <c r="D43" s="21" t="s">
        <v>134</v>
      </c>
    </row>
    <row r="44" spans="1:5" x14ac:dyDescent="0.2">
      <c r="A44" s="2"/>
      <c r="B44" s="2"/>
      <c r="C44" s="22"/>
      <c r="D44" s="23"/>
    </row>
    <row r="45" spans="1:5" x14ac:dyDescent="0.2">
      <c r="A45" s="34" t="s">
        <v>135</v>
      </c>
      <c r="B45" s="34"/>
      <c r="C45" s="34"/>
      <c r="D45" s="35"/>
    </row>
    <row r="46" spans="1:5" ht="24" customHeight="1" x14ac:dyDescent="0.2">
      <c r="A46" s="31" t="s">
        <v>136</v>
      </c>
      <c r="B46" s="32"/>
      <c r="C46" s="32"/>
      <c r="D46" s="33"/>
    </row>
    <row r="47" spans="1:5" x14ac:dyDescent="0.2">
      <c r="A47" s="29" t="s">
        <v>138</v>
      </c>
      <c r="B47" s="29"/>
      <c r="C47" s="29"/>
      <c r="D47" s="30"/>
    </row>
  </sheetData>
  <autoFilter ref="C10:D10" xr:uid="{00000000-0001-0000-0000-000000000000}"/>
  <mergeCells count="7">
    <mergeCell ref="A1:A5"/>
    <mergeCell ref="C1:D5"/>
    <mergeCell ref="A8:C9"/>
    <mergeCell ref="A6:D7"/>
    <mergeCell ref="A47:D47"/>
    <mergeCell ref="A46:D46"/>
    <mergeCell ref="A45:D45"/>
  </mergeCells>
  <pageMargins left="0.7" right="0.7" top="0.75" bottom="0.75" header="0.3" footer="0.3"/>
  <pageSetup orientation="portrait" horizontalDpi="300" verticalDpi="300" r:id="rId1"/>
  <ignoredErrors>
    <ignoredError sqref="A11:A14 A16:A43 C11:D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bbe51c47f34cf99d46406e5cbbd71d04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232b65a28ae1bbbae5f901744164f207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A8C342-09F0-4130-AE2A-CBE02036160F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9A7E17E-3835-4720-ADC3-FE5687C9DA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C5AF02-6939-4922-8F67-C555D7078A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NAS P</cp:lastModifiedBy>
  <cp:revision/>
  <dcterms:created xsi:type="dcterms:W3CDTF">2018-03-07T16:35:13Z</dcterms:created>
  <dcterms:modified xsi:type="dcterms:W3CDTF">2025-07-17T02:52:53Z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3f87d25fac7b4f568b785b8fd8d1454e</vt:lpwstr>
  </property>
  <property fmtid="{D5CDD505-2E9C-101B-9397-08002B2CF9AE}" pid="3" name="ContentTypeId">
    <vt:lpwstr>0x0101005130CDF0AED5E24687116040571C2670</vt:lpwstr>
  </property>
  <property fmtid="{D5CDD505-2E9C-101B-9397-08002B2CF9AE}" pid="4" name="MediaServiceImageTags">
    <vt:lpwstr/>
  </property>
</Properties>
</file>